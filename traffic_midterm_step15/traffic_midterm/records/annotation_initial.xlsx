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填寫說明" sheetId="1" r:id="rId5"/>
    <sheet state="visible" name="主張標註" sheetId="2" r:id="rId6"/>
    <sheet state="visible" name="來源相關性" sheetId="3" r:id="rId7"/>
    <sheet state="visible" name="來源摘要" sheetId="4" r:id="rId8"/>
  </sheets>
  <definedNames/>
  <calcPr/>
</workbook>
</file>

<file path=xl/sharedStrings.xml><?xml version="1.0" encoding="utf-8"?>
<sst xmlns="http://schemas.openxmlformats.org/spreadsheetml/2006/main" count="460" uniqueCount="306">
  <si>
    <t>車禍主張人工標註</t>
  </si>
  <si>
    <t>主張標註</t>
  </si>
  <si>
    <t>現有來源摘要</t>
  </si>
  <si>
    <t>第十二步｜10 個案例、15 項主張｜請先各自判斷，再討論分歧</t>
  </si>
  <si>
    <t>15 項固定主張｜淡黃欄各自填寫，完成後才填淡藍共同確認欄</t>
  </si>
  <si>
    <t>來源相關性標註</t>
  </si>
  <si>
    <t>標註者資訊</t>
  </si>
  <si>
    <t>沿用 corpus.json｜法規與相似裁判不是本案證據｜未提供 AI 預選相關來源</t>
  </si>
  <si>
    <t>每案閱讀全部來源摘要，各自列出相關 ID；確定無相關來源填「無」</t>
  </si>
  <si>
    <t>請填右欄；可用固定代號。日期填 YYYY-MM-DD。</t>
  </si>
  <si>
    <t>組員一姓名或代號</t>
  </si>
  <si>
    <t>組員一</t>
  </si>
  <si>
    <t>案例</t>
  </si>
  <si>
    <t>來源 ID</t>
  </si>
  <si>
    <t>主張</t>
  </si>
  <si>
    <t>類別</t>
  </si>
  <si>
    <t>事故描述</t>
  </si>
  <si>
    <t>組員二姓名或代號</t>
  </si>
  <si>
    <t>組員二</t>
  </si>
  <si>
    <t>標題</t>
  </si>
  <si>
    <t>待判斷主張</t>
  </si>
  <si>
    <t>原有摘要</t>
  </si>
  <si>
    <t>本案證據與核對狀態</t>
  </si>
  <si>
    <t>組員一相關來源 ID</t>
  </si>
  <si>
    <t>原有網址</t>
  </si>
  <si>
    <t>組員一完成日期</t>
  </si>
  <si>
    <t>組員一理由／疑義</t>
  </si>
  <si>
    <t>組員一標籤</t>
  </si>
  <si>
    <t>原有查閱日</t>
  </si>
  <si>
    <t>組員一理由</t>
  </si>
  <si>
    <t>組員二相關來源 ID</t>
  </si>
  <si>
    <t>組員一證據 ID</t>
  </si>
  <si>
    <t>組員二標籤</t>
  </si>
  <si>
    <t>組員二理由／疑義</t>
  </si>
  <si>
    <t>組員二理由</t>
  </si>
  <si>
    <t>組員二證據 ID</t>
  </si>
  <si>
    <t>共同確認來源 ID</t>
  </si>
  <si>
    <t>共同確認標籤</t>
  </si>
  <si>
    <t>確認方式／人員</t>
  </si>
  <si>
    <t>L184</t>
  </si>
  <si>
    <t>討論紀錄／待釐清</t>
  </si>
  <si>
    <t>獨立答案是否一致</t>
  </si>
  <si>
    <t>T01</t>
  </si>
  <si>
    <t>法規</t>
  </si>
  <si>
    <t>民法第184條</t>
  </si>
  <si>
    <t>組員二完成日期</t>
  </si>
  <si>
    <t>故意或過失侵害他人權利，以及違反保護他人的法律造成損害，涉及侵權賠償；仍須檢查規定要件與例外。</t>
  </si>
  <si>
    <t>C1</t>
  </si>
  <si>
    <t>https://law.moj.gov.tw/LawClass/LawSingle.aspx?pcode=B0000001&amp;flno=184</t>
  </si>
  <si>
    <t>範圍</t>
  </si>
  <si>
    <t>A騎機車直行，B開汽車左轉。B主張A超速，所以A全責。</t>
  </si>
  <si>
    <t>本檔提供現有測試組 T01–T10 的全部 15 項固定主張，以及 22 筆現有來源摘要。沒有放入 AI 標籤、模型答案或預選相關來源。</t>
  </si>
  <si>
    <t>A超速</t>
  </si>
  <si>
    <t>無本案證據。</t>
  </si>
  <si>
    <t>2026-10-18</t>
  </si>
  <si>
    <t>資料性質</t>
  </si>
  <si>
    <t>L1027  J01    J08   L217   L184   L1912</t>
  </si>
  <si>
    <t>所有事故及本案證據都是合成研究資料。這次標註的是「在題目提供的資料條件下，主張受到多少支持」，不是認定真實事故責任。</t>
  </si>
  <si>
    <t>第一步：獨立填寫</t>
  </si>
  <si>
    <t>兩人各下載一份檔案，分別填「主張標註」與「來源相關性」中屬於自己的欄位。完成前不要看對方答案，也不要參考 AI／系統的分類答案。</t>
  </si>
  <si>
    <t>L1912</t>
  </si>
  <si>
    <t>第二步：逐項讀題</t>
  </si>
  <si>
    <t>每個主張分開判斷。先讀事故描述，再看主張全文與證據內容、核對狀態。不要自行補入車速、號誌、影片內容或其他案件事實。</t>
  </si>
  <si>
    <t>民法第191條之2</t>
  </si>
  <si>
    <t>這些來源討論的路口的規定，優先路權等跟這次事故責任相關的事。</t>
  </si>
  <si>
    <t>動力車輛使用中造成他人損害的賠償責任，另有駕駛人已盡相當注意的例外。</t>
  </si>
  <si>
    <t>第三步：填寫答案</t>
  </si>
  <si>
    <t>https://law.moj.gov.tw/LawClass/LawSingle.aspx?pcode=B0000001&amp;flno=191-2</t>
  </si>
  <si>
    <t>每列選一個標籤，寫 1–2 句理由，並填依據的本案證據編號。沒有可用證據請填「無」；有反向證據則寫「E1（反向）」等。</t>
  </si>
  <si>
    <t>第四步：保留分歧</t>
  </si>
  <si>
    <t>兩人完成後合併各自欄位，保留原始答案。共同討論並填「共同確認標籤」及「討論紀錄／待釐清」。不要為了相同而覆蓋個別答案。</t>
  </si>
  <si>
    <t>無法取得共識</t>
  </si>
  <si>
    <t>共同確認標籤先留白，在討論紀錄寫出爭點。若請第三人裁決，記錄其代號與理由；只有兩人共同討論時就如實填「共同討論」，不要假造第三位仲裁者。</t>
  </si>
  <si>
    <t>L217</t>
  </si>
  <si>
    <t>回傳方式</t>
  </si>
  <si>
    <t>民法第217條</t>
  </si>
  <si>
    <t>可回傳合併後的一份 .xlsx，也可直接回傳兩人的獨立檔，我再整合並列出分歧。保留原有案例／主張編號，不必手動編輯 JSON。</t>
  </si>
  <si>
    <t>被害人對損害發生或擴大與有過失時，法院得減輕或免除賠償；不能只因一方違規就直接決定全責。</t>
  </si>
  <si>
    <t>https://law.moj.gov.tw/LawClass/LawSingle.aspx?pcode=B0000001&amp;flno=217</t>
  </si>
  <si>
    <t>五種標籤</t>
  </si>
  <si>
    <t>以下為本研究的操作定義。每列只能選一項。</t>
  </si>
  <si>
    <t>支持（Supported）</t>
  </si>
  <si>
    <t>L93</t>
  </si>
  <si>
    <t>可採用的本案證據直接支持整項主張，且沒有尚待釐清的反向或衝突證據。「支持」只表示符合題目提供的證據轉錄。</t>
  </si>
  <si>
    <t>道路交通安全規則第93條</t>
  </si>
  <si>
    <t xml:space="preserve"> L1027 J01 </t>
  </si>
  <si>
    <t>車速依速限標誌或標線；行經無號誌路口等列舉情況應減速並準備停車。</t>
  </si>
  <si>
    <t>https://law.moj.gov.tw/LawClass/LawSingle.aspx?pcode=K0040013&amp;flno=93</t>
  </si>
  <si>
    <t>部分支持（Partially Supported）</t>
  </si>
  <si>
    <t>證據支持主張中可明確區分的一部分，其他部分仍缺支持。理由須指出支持了哪一部分、缺哪一部分。單一事實只有線索但不能確認時，不要只因不確定而選部分支持。</t>
  </si>
  <si>
    <t>與左彎、直行、超速相關</t>
  </si>
  <si>
    <t>證據不足（Insufficient Evidence）</t>
  </si>
  <si>
    <t>缺少可用本案證據、證據未核對、證據不足以支持該項主張，或有反向／互相衝突的證據尚未解決。本研究沒有「被反駁」標籤，反向與衝突請在理由中明確註記。</t>
  </si>
  <si>
    <t>L941</t>
  </si>
  <si>
    <t>過度推論（Overgeneralized）</t>
  </si>
  <si>
    <t>道路交通安全規則第94條第1項</t>
  </si>
  <si>
    <t>主張提出的結論超出前提能支持的範圍，例如由一項行為直接推到全部責任。理由要指出推論跳過什麼環節。單純事實指控缺證據，通常應歸證據不足。</t>
  </si>
  <si>
    <t>同車道前後行駛，除擬超車外，後車須保留可隨時煞停的距離。追撞爭議須核對安全距離與前車動態。</t>
  </si>
  <si>
    <t>T02</t>
  </si>
  <si>
    <t>https://law.moj.gov.tw/LawClass/LawSingle.aspx?pcode=K0040013&amp;flno=94</t>
  </si>
  <si>
    <t>B沒有駕照，A認為B無照所以B全責。</t>
  </si>
  <si>
    <t>無關（Irrelevant）</t>
  </si>
  <si>
    <t>J10  J01 L217</t>
  </si>
  <si>
    <t>該項主張與事故行為、因果或責任爭點沒有說明關聯。缺證據本身不代表無關。</t>
  </si>
  <si>
    <t>這些來源討論無照的案例，以及相關的一些例外規範。</t>
  </si>
  <si>
    <t>L217 J01 J10</t>
  </si>
  <si>
    <t>判斷順序</t>
  </si>
  <si>
    <t>涉及違規、無照</t>
  </si>
  <si>
    <t>先辨識這項是在說「行為發生」、「行為造成事故」或「應負多少責任」，再檢查證據支持到哪一層。行為、因果與責任要分開判斷。</t>
  </si>
  <si>
    <t>L943</t>
  </si>
  <si>
    <t>證據核對狀態</t>
  </si>
  <si>
    <t>T03</t>
  </si>
  <si>
    <t>道路交通安全規則第94條第3項</t>
  </si>
  <si>
    <t>「已核對」是題目給定的使用者轉錄核對狀態，不代表系統獨立驗證。只在本合成實驗中按此條件採用；「未核對」內容不可當成已成立的事實。</t>
  </si>
  <si>
    <t>B指稱A超速，A只有行車紀錄器，未提供影像內容。</t>
  </si>
  <si>
    <t>行駛中須留意車前狀況與並行間隔，採取必要安全措施。</t>
  </si>
  <si>
    <t>這些來源討論相關法規，疑義是未有影像內容供核對。</t>
  </si>
  <si>
    <t>影片與說法</t>
  </si>
  <si>
    <t>證據不足</t>
  </si>
  <si>
    <t xml:space="preserve">L217 L943 </t>
  </si>
  <si>
    <t>「我有行車紀錄器」不等於影片已提供；事故描述中的指控也不等於已核實證據。</t>
  </si>
  <si>
    <t>涉及超速、安全距離的內容</t>
  </si>
  <si>
    <t>沒有影片等證據去證明A是超速的</t>
  </si>
  <si>
    <t>否定與反向證據</t>
  </si>
  <si>
    <t>確認證據在說誰、什麼行為，以及有／沒有。主張與證據方向相反時，寫出反向證據 ID；兩份證據衝突時，兩個 ID 都保留。</t>
  </si>
  <si>
    <t>T04</t>
  </si>
  <si>
    <t>無</t>
  </si>
  <si>
    <t>B指稱A闖紅燈，提供的轉錄卻顯示A未闖紅燈。</t>
  </si>
  <si>
    <t>L1021  J04</t>
  </si>
  <si>
    <t>法規與裁判</t>
  </si>
  <si>
    <t>這些來源討論闖紅地的相關法規及案例，但疑義是轉錄與指稱不符。</t>
  </si>
  <si>
    <t>J04</t>
  </si>
  <si>
    <t>法規與其他案件的裁判摘要可提供判斷框架，不能證明本案行為發生。「本案裁判轉錄」與「相似案件裁判」也不可混用。</t>
  </si>
  <si>
    <t>涉及只憑當事人指控</t>
  </si>
  <si>
    <t>來源相關性怎麼填</t>
  </si>
  <si>
    <t>T05</t>
  </si>
  <si>
    <t>L98</t>
  </si>
  <si>
    <t>針對每個案例，閱讀「來源摘要」全部 22 筆資料，選出對該案明確爭點有實質幫助的來源 ID。不要只挑字面相同者，也不要把所有交通來源都算相關。</t>
  </si>
  <si>
    <t>B開啟車門，A機車經過。轉錄記載B開啟車門。</t>
  </si>
  <si>
    <t>道路交通安全規則第98條第1項第6款</t>
  </si>
  <si>
    <t>L112   J05    L1912</t>
  </si>
  <si>
    <t>同向多車道路段變換車道，須禮讓直行車並維持安全距離。</t>
  </si>
  <si>
    <t>這些來源討論有開車門造成事故的案例，也提及用路人皆須進駐一隻責任，可以作為討論的依據。</t>
  </si>
  <si>
    <t xml:space="preserve">J05 L112 </t>
  </si>
  <si>
    <t>來源相關性的理由</t>
  </si>
  <si>
    <t>與開啟車門、注意其他用路人有關</t>
  </si>
  <si>
    <t>https://law.moj.gov.tw/LawClass/LawSingle.aspx?pcode=K0040013&amp;flno=98</t>
  </si>
  <si>
    <t>說明所選來源能幫助處理哪個行為規則、因果或責任推論。這是相關性判斷，不是宣稱摘要能證明本案事實，也不是本次在查核法律原文是否正確。</t>
  </si>
  <si>
    <t>T06</t>
  </si>
  <si>
    <t>B追撞A，B主張A無故煞車。現有資料尚未說明前車煞車原因。</t>
  </si>
  <si>
    <t>L941 L943  J06  J02   J03    L1912</t>
  </si>
  <si>
    <t>來源 ID 格式</t>
  </si>
  <si>
    <t>這些來源討論追撞的案例，及相關法規供參考，但疑義是未說明前車煞車原因。</t>
  </si>
  <si>
    <t>以逗號分隔，例如 L001, J001（僅示範格式，並非本檔實際 ID）。確定無相關來源填「無」；尚未判斷請留白並在理由註記。來源可不限 3 筆。</t>
  </si>
  <si>
    <t xml:space="preserve">L1912 L941 L943 J02 J03 J07 </t>
  </si>
  <si>
    <t>無證據</t>
  </si>
  <si>
    <t>與追撞、保持安全距離相關</t>
  </si>
  <si>
    <t>摘要限制</t>
  </si>
  <si>
    <t>L1021</t>
  </si>
  <si>
    <t>T07</t>
  </si>
  <si>
    <t>來源摘要沿用專案現有內容與查閱日，未在製作本表時重新核對原文。若摘要不清楚、可能有誤或不足以判斷，記錄疑義，不要自行猜答案。</t>
  </si>
  <si>
    <t>A認為B態度很差，應為事故負責。</t>
  </si>
  <si>
    <t>道路交通安全規則第102條第1項第1款</t>
  </si>
  <si>
    <t>交岔路口依交通號誌與指揮行進；兩者並用時以交通指揮為準。闖紅燈主張須有本案號誌證據。</t>
  </si>
  <si>
    <t>題目疑義</t>
  </si>
  <si>
    <t>https://law.moj.gov.tw/LawClass/LawSingle.aspx?pcode=K0040013&amp;flno=102</t>
  </si>
  <si>
    <t>主張不一定是描述的逐字引用，應評估列出的固定主張是否有支持。若認為題目缺少必要前提、措辭有歧義或拆解不當，請在理由／討論紀錄中標示。</t>
  </si>
  <si>
    <t>疑義為找不到相關案例與事件相關，且我認為態度與肇則是無關的。</t>
  </si>
  <si>
    <t>已接觸案例</t>
  </si>
  <si>
    <t>先前開發已用過與部分測試題相近的超速、無照、全責及證據狀態情境。兩位標註者如曾看過同題或類似答案，請填在下面，後續如實揭露；本表不保證這些題目完全獨立於開發。</t>
  </si>
  <si>
    <t>事故與態度無關</t>
  </si>
  <si>
    <t>L1022</t>
  </si>
  <si>
    <t>組員一先前接觸情況</t>
  </si>
  <si>
    <t>T08</t>
  </si>
  <si>
    <t>B指稱A超速。兩份提供的轉錄對A是否超速互相矛盾。</t>
  </si>
  <si>
    <t>L93  J08</t>
  </si>
  <si>
    <t>組員二先前接觸情況</t>
  </si>
  <si>
    <t>這些來源討論道路限速規範，疑義是資料互相矛盾，需要第三分資料作為輔助或是其他方法找到究竟是否超速。</t>
  </si>
  <si>
    <t>看過T01</t>
  </si>
  <si>
    <t xml:space="preserve">J08 J01 </t>
  </si>
  <si>
    <t>與超速有關，但兩份證據矛盾有疑義</t>
  </si>
  <si>
    <t>欄位顏色</t>
  </si>
  <si>
    <t>淡黃色是個別人工填寫欄；淡藍色是共同確認欄。不要修改原始案件、主張、證據與來源摘要。</t>
  </si>
  <si>
    <t>道路交通安全規則第102條第1項第2款</t>
  </si>
  <si>
    <t>無號誌且無交通指揮的路口，依幹支線、車道數及行進方向等順序判斷讓行；須確認適用條件。</t>
  </si>
  <si>
    <t>T09</t>
  </si>
  <si>
    <t>之後的輸出審查</t>
  </si>
  <si>
    <t>A認為B變換車道造成事故，但只有B變換車道的轉錄。</t>
  </si>
  <si>
    <t>本檔處理參考標籤與來源相關性。正式模型輸出產生後，若要量測幻覺或引用是否支持理由，仍須另外審查；不能以本表標籤直接代替那些指標。</t>
  </si>
  <si>
    <t>L98 L943 L184 L1912</t>
  </si>
  <si>
    <t>這些來源討論變換車料相關的案例，同時也提及駕駛應行注意之責任及保持安全車距去因應突發狀況，疑義是只又B的行為轉錄，未提及A。</t>
  </si>
  <si>
    <t xml:space="preserve">L941 L943 L98 J02 J03 J07 </t>
  </si>
  <si>
    <t>與變道、安全距離相關</t>
  </si>
  <si>
    <t>L1027</t>
  </si>
  <si>
    <t>道路交通安全規則第102條第1項第7款</t>
  </si>
  <si>
    <t>交岔路口轉彎車須禮讓直行車，仍須核對號誌、動向和雙方其他行為。</t>
  </si>
  <si>
    <t>T10</t>
  </si>
  <si>
    <t>A主張B酒駕，B應負全部責任。提供的轉錄只有酒駕行為。</t>
  </si>
  <si>
    <t>L114 J09  L217</t>
  </si>
  <si>
    <t>這些來源討論酒駕相關案例及法規，但疑義再A本身是否具有重大違規</t>
  </si>
  <si>
    <t>J09 L217 L114</t>
  </si>
  <si>
    <t>與酒駕、違規有關</t>
  </si>
  <si>
    <t>L112</t>
  </si>
  <si>
    <t>道路交通安全規則第112條第5項</t>
  </si>
  <si>
    <t>臨停或停車開關車門時，須留意其他用路人並讓其先行，確認安全後開門。</t>
  </si>
  <si>
    <t>https://law.moj.gov.tw/LawClass/LawSingle.aspx?pcode=K0040013&amp;flno=112</t>
  </si>
  <si>
    <t>L114</t>
  </si>
  <si>
    <t>道路交通安全規則第114條第2款</t>
  </si>
  <si>
    <t>酒精濃度達法定門檻時不得駕車。是否酒駕須核對檢測，事故原因仍須查證。</t>
  </si>
  <si>
    <t>https://law.moj.gov.tw/LawClass/LawSingle.aspx?pcode=K0040013&amp;flno=114</t>
  </si>
  <si>
    <t>J01</t>
  </si>
  <si>
    <t>相似裁判</t>
  </si>
  <si>
    <t>三重簡易庭111年度重簡字第1354號</t>
  </si>
  <si>
    <t>法院綜合影像分析與鑑定，考量左轉未讓直行及直行機車嚴重超速，認雙方過失相當。重點是各項本案證據，不能只看無照或轉彎。</t>
  </si>
  <si>
    <t>https://judgment.judicial.gov.tw/FJUD/printData.aspx?id=SJEV%2C111%2C%E9%87%8D%E7%B0%A1%2C1354%2C20240131%2C1</t>
  </si>
  <si>
    <t>J02</t>
  </si>
  <si>
    <t>桃園簡易庭114年度桃簡字第511號</t>
  </si>
  <si>
    <t>法院依現場圖、談話紀錄及其他資料，認後車未維持安全距離造成追撞；前車因前方停車而煞停。</t>
  </si>
  <si>
    <t>https://judgment.judicial.gov.tw/FJUD/printData.aspx?id=TYEV%2C114%2C%E6%A1%83%E7%B0%A1%2C511%2C20251031%2C1</t>
  </si>
  <si>
    <t>J03</t>
  </si>
  <si>
    <t>沙鹿簡易庭113年度沙小字第70號</t>
  </si>
  <si>
    <t>法院依事故卷證、鑑定與不爭執事項，認大客車未保持安全距離追撞前車，負該案全部過失責任。此結論不能套用到所有追撞。</t>
  </si>
  <si>
    <t>https://judgment.judicial.gov.tw/FJUD/printData.aspx?id=SDEV%2C113%2C%E6%B2%99%E5%B0%8F%2C70%2C20240531%2C1</t>
  </si>
  <si>
    <t>C2</t>
  </si>
  <si>
    <t>A應負全部責任</t>
  </si>
  <si>
    <t>臺灣高等法院114年度簡字第4號</t>
  </si>
  <si>
    <t>法院依事故資料、監視影像等，認貨車闖紅燈與死亡結果有因果關係。該案事實有卷證支持，不是只憑當事人指控。</t>
  </si>
  <si>
    <t>https://judgment.judicial.gov.tw/FJUD/printData.aspx?id=TPHV%2C114%2C%E7%B0%A1%2C4%2C20260113%2C1</t>
  </si>
  <si>
    <t>過度推論</t>
  </si>
  <si>
    <t>並未提及B本身是否有違規，所以直接認定A全責有過度推論的疑慮。</t>
  </si>
  <si>
    <t>J05</t>
  </si>
  <si>
    <t>鳳山簡易庭112年度鳳簡字第561號</t>
  </si>
  <si>
    <t>無證據且無法直接判斷是A全責</t>
  </si>
  <si>
    <t>案件涉及停車後開啟車門與同向機車碰撞。原告提出開門未注意的主張；檢索卡保留此程序角色，不將起訴主張當作法院認定。</t>
  </si>
  <si>
    <t>https://judgment.judicial.gov.tw/FJUD/printData.aspx?id=FSEV%2C112%2C%E9%B3%B3%E7%B0%A1%2C561%2C20240202%2C1</t>
  </si>
  <si>
    <t>J06</t>
  </si>
  <si>
    <t>橋頭簡易庭113年度橋簡字第567號</t>
  </si>
  <si>
    <t>法院勘驗影片，認貨車變換車道掉落輪胎，前車為閃避而煞車，不能視作無故煞停；掉落物與事故有因果關係。</t>
  </si>
  <si>
    <t>https://judgment.judicial.gov.tw/FJUD/printData.aspx?id=CDEV%2C113%2C%E6%A9%8B%E7%B0%A1%2C567%2C20240731%2C1</t>
  </si>
  <si>
    <t>J07</t>
  </si>
  <si>
    <t>B無照</t>
  </si>
  <si>
    <t>中壢簡易庭113年度壢簡字第150號</t>
  </si>
  <si>
    <t>E1｜已核對｜提供的證據轉錄
B：有「無照」
合成案例提供的證據轉錄；並非真實影片或警方文件。</t>
  </si>
  <si>
    <t>法院依行車影像與勘驗紀錄，認變換車道後立即煞車且未保持安全距離的行為造成碰撞；不能由後車撞前車直接推定後車全責。</t>
  </si>
  <si>
    <t>https://judgment.judicial.gov.tw/FJUD/printData.aspx?id=CLEV%2C113%2C%E5%A3%A2%E7%B0%A1%2C150%2C20240621%2C1</t>
  </si>
  <si>
    <t>支持</t>
  </si>
  <si>
    <t>證據中有紀載B無照的事實，所以可以支持B無照的主張。</t>
  </si>
  <si>
    <t>E1</t>
  </si>
  <si>
    <t>J08</t>
  </si>
  <si>
    <t>福建高等法院金門分院113年度重上字第2號</t>
  </si>
  <si>
    <t>有證據</t>
  </si>
  <si>
    <t>無號誌路口案件中，法院考量支線車未停讓及幹線車未減速的過失；鑑定所用速限也需再核對。路權優先不等於完全免責。</t>
  </si>
  <si>
    <t>https://judgment.judicial.gov.tw/FJUD/printData.aspx?id=KMHV%2C113%2C%E9%87%8D%E4%B8%8A%2C2%2C20250813%2C2</t>
  </si>
  <si>
    <t>J09</t>
  </si>
  <si>
    <t>沙鹿簡易庭113年度沙簡字第173號</t>
  </si>
  <si>
    <t>法院綜合事故紀錄、酒精檢測等，認酒後駕車誤闖國道且逆向行駛造成事故。酒駕與事故責任的分析須連結具體行為和證據。</t>
  </si>
  <si>
    <t>https://judgment.judicial.gov.tw/FJUD/printData.aspx?id=SDEV%2C113%2C%E6%B2%99%E7%B0%A1%2C173%2C20241227%2C1</t>
  </si>
  <si>
    <t>B應負全部責任</t>
  </si>
  <si>
    <t>J10</t>
  </si>
  <si>
    <t>部分支持</t>
  </si>
  <si>
    <t>臺灣新竹地方法院110年度簡上字第100號</t>
  </si>
  <si>
    <t>B無照是既定事實，但不確定A是否同樣有違規，因此不能完全支持B負全責的主張。</t>
  </si>
  <si>
    <t>案件涉及無照貨車在路口未依行進方向預先變換車道，與同向機車碰撞；法院理由檢查具體動線及注意義務，檢索時須區分當事人抗辯與法院認定。</t>
  </si>
  <si>
    <t>https://judgment.judicial.gov.tw/FJUD/printData.aspx?id=SCDV%2C110%2C%E7%B0%A1%E4%B8%8A%2C100%2C20211216%2C1</t>
  </si>
  <si>
    <t>從無照直接跳到全責</t>
  </si>
  <si>
    <t>E1｜未核對｜提供的證據轉錄
A：有「超速」
合成案例提供的證據轉錄；並非真實影片或警方文件。</t>
  </si>
  <si>
    <t>有證據但未被核對，所以不能完全支持A超速這件事。</t>
  </si>
  <si>
    <t>E1未核對</t>
  </si>
  <si>
    <t>證據未核對</t>
  </si>
  <si>
    <t>A闖紅燈</t>
  </si>
  <si>
    <t>E1｜已核對｜提供的證據轉錄
A：沒有「闖紅燈」
合成案例提供的證據轉錄；並非真實影片或警方文件。</t>
  </si>
  <si>
    <t>無關</t>
  </si>
  <si>
    <t>提供的證據顯示A未闖紅燈，因此不能支持主張。</t>
  </si>
  <si>
    <t>E1與主張矛盾</t>
  </si>
  <si>
    <t>證據為A沒有闖紅燈，與B主張A闖紅燈矛盾</t>
  </si>
  <si>
    <t>E1(反向證據)</t>
  </si>
  <si>
    <t>B開啟車門</t>
  </si>
  <si>
    <t>E1｜已核對｜提供的證據轉錄
B：有「開啟車門」
合成案例提供的證據轉錄；並非真實影片或警方文件。</t>
  </si>
  <si>
    <t>有影像證據，支持主張。</t>
  </si>
  <si>
    <t>E1已核對</t>
  </si>
  <si>
    <t>B未保持安全距離</t>
  </si>
  <si>
    <t>未有充分的影像證據，所以主張有可能發生，但不能完全支持。</t>
  </si>
  <si>
    <t>沒有證據</t>
  </si>
  <si>
    <t>B一定負全部責任</t>
  </si>
  <si>
    <t>無證據說明前方一定沒有違規，故不完全支持主張。</t>
  </si>
  <si>
    <t>沒有證據且直接跳到B全責</t>
  </si>
  <si>
    <t>B態度很差</t>
  </si>
  <si>
    <t>態度跟違規與否毫不相關，故不支持主張。</t>
  </si>
  <si>
    <t>與事故無關</t>
  </si>
  <si>
    <t>E1｜已核對｜提供的證據轉錄
A：有「超速」
合成案例提供的證據轉錄；並非真實影片或警方文件。
E2｜已核對｜提供的證據轉錄
A：沒有「超速」
合成案例提供的證據轉錄；並非真實影片或警方文件。</t>
  </si>
  <si>
    <t>既有證據互相矛盾，需要第三方證據加以輔助判斷，證據不完全。</t>
  </si>
  <si>
    <t>E1E2相互矛盾</t>
  </si>
  <si>
    <t>兩份證據矛盾</t>
  </si>
  <si>
    <t>E1、E2互相矛盾</t>
  </si>
  <si>
    <t>B變換車道</t>
  </si>
  <si>
    <t>E1｜已核對｜提供的證據轉錄
B：有「變換車道」
合成案例提供的證據轉錄；並非真實影片或警方文件。</t>
  </si>
  <si>
    <t>證據顯示B有變換車道的事實，故支持主張。</t>
  </si>
  <si>
    <t>B變換車道造成事故</t>
  </si>
  <si>
    <t>因為沒有辦法確定A本身是否有其他也是造成事故的違規行為，故不能完全支持主張，證據不足。</t>
  </si>
  <si>
    <t>E1(但只記錄B)</t>
  </si>
  <si>
    <t>直接跳到是B造成事故的</t>
  </si>
  <si>
    <t>B酒駕</t>
  </si>
  <si>
    <t>E1｜已核對｜提供的證據轉錄
B：有「酒駕」
合成案例提供的證據轉錄；並非真實影片或警方文件。</t>
  </si>
  <si>
    <t>有以核對的證據去證明，故支持B酒駕的主張。</t>
  </si>
  <si>
    <t>酒駕本身在交通事故上站最重的肇責，故支持B負全責的主張。</t>
  </si>
  <si>
    <t>E1僅支持B酒駕，並不知完整資訊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</si>
</sst>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1.0"/>
      <color rgb="FF000000"/>
      <name val="Carlito"/>
      <scheme val="minor"/>
    </font>
    <font>
      <sz val="11.0"/>
      <color rgb="FF243449"/>
      <name val="Arial"/>
    </font>
    <font>
      <sz val="15.0"/>
      <color rgb="FF243449"/>
      <name val="Arial"/>
    </font>
    <font>
      <sz val="15.0"/>
      <color theme="1"/>
      <name val="Carlito"/>
      <scheme val="minor"/>
    </font>
    <font>
      <b/>
      <sz val="16.0"/>
      <color rgb="FF243449"/>
      <name val="Arial"/>
    </font>
    <font>
      <b/>
      <sz val="15.0"/>
      <color rgb="FF243449"/>
      <name val="Arial"/>
    </font>
    <font>
      <sz val="11.0"/>
      <color rgb="FF526477"/>
      <name val="Arial"/>
    </font>
    <font>
      <sz val="15.0"/>
      <color rgb="FF526477"/>
      <name val="Arial"/>
    </font>
    <font>
      <b/>
      <sz val="11.0"/>
      <color rgb="FFFFFFFF"/>
      <name val="Arial"/>
    </font>
    <font>
      <b/>
      <sz val="15.0"/>
      <color rgb="FFFFFFFF"/>
      <name val="Arial"/>
    </font>
    <font>
      <sz val="20.0"/>
      <color rgb="FF243449"/>
      <name val="Arial"/>
    </font>
    <font>
      <sz val="16.0"/>
      <color rgb="FF243449"/>
      <name val="Arial"/>
    </font>
    <font>
      <sz val="17.0"/>
      <color rgb="FF243449"/>
      <name val="Arial"/>
    </font>
    <font>
      <sz val="16.0"/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3CD"/>
        <bgColor rgb="FFFFF3CD"/>
      </patternFill>
    </fill>
    <fill>
      <patternFill patternType="solid">
        <fgColor rgb="FF263D57"/>
        <bgColor rgb="FF263D57"/>
      </patternFill>
    </fill>
    <fill>
      <patternFill patternType="solid">
        <fgColor rgb="FFE9F1FA"/>
        <bgColor rgb="FFE9F1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ill="1" applyFont="1">
      <alignment readingOrder="0" shrinkToFit="0" vertical="top" wrapText="1"/>
    </xf>
    <xf borderId="1" fillId="3" fontId="8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top" wrapText="1"/>
    </xf>
    <xf borderId="1" fillId="2" fontId="1" numFmtId="164" xfId="0" applyAlignment="1" applyBorder="1" applyFill="1" applyFont="1" applyNumberFormat="1">
      <alignment readingOrder="0" shrinkToFit="0" vertical="top" wrapText="1"/>
    </xf>
    <xf borderId="0" fillId="0" fontId="1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11" numFmtId="0" xfId="0" applyAlignment="1" applyBorder="1" applyFill="1" applyFont="1">
      <alignment readingOrder="0" shrinkToFit="0" vertical="top" wrapText="1"/>
    </xf>
    <xf borderId="1" fillId="2" fontId="12" numFmtId="0" xfId="0" applyAlignment="1" applyBorder="1" applyFill="1" applyFont="1">
      <alignment readingOrder="0" shrinkToFit="0" vertical="top" wrapText="1"/>
    </xf>
    <xf borderId="1" fillId="4" fontId="11" numFmtId="0" xfId="0" applyAlignment="1" applyBorder="1" applyFill="1" applyFont="1">
      <alignment shrinkToFit="0" vertical="top" wrapText="1"/>
    </xf>
    <xf borderId="1" fillId="4" fontId="1" numFmtId="0" xfId="0" applyAlignment="1" applyBorder="1" applyFill="1" applyFont="1">
      <alignment shrinkToFit="0" vertical="top" wrapText="1"/>
    </xf>
    <xf borderId="1" fillId="2" fontId="11" numFmtId="0" xfId="0" applyAlignment="1" applyBorder="1" applyFill="1" applyFont="1">
      <alignment shrinkToFit="0" vertical="top" wrapText="1"/>
    </xf>
    <xf borderId="0" fillId="0" fontId="11" numFmtId="0" xfId="0" applyAlignment="1" applyFont="1">
      <alignment vertical="top"/>
    </xf>
    <xf borderId="0" fillId="0" fontId="13" numFmtId="0" xfId="0" applyFont="1"/>
    <xf borderId="0" fillId="0" fontId="10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8.0"/>
    <col customWidth="1" min="2" max="2" width="106.0"/>
    <col customWidth="1" min="3" max="26" width="8.63"/>
  </cols>
  <sheetData>
    <row r="1">
      <c r="A1" s="1"/>
      <c r="B1" s="1"/>
    </row>
    <row r="2">
      <c r="A2" s="4" t="s">
        <v>0</v>
      </c>
      <c r="B2" s="1"/>
    </row>
    <row r="3">
      <c r="A3" s="6" t="s">
        <v>3</v>
      </c>
      <c r="B3" s="1"/>
    </row>
    <row r="4">
      <c r="A4" s="1"/>
      <c r="B4" s="1"/>
    </row>
    <row r="5" ht="31.5" customHeight="1">
      <c r="A5" s="8" t="s">
        <v>6</v>
      </c>
      <c r="B5" s="8" t="s">
        <v>9</v>
      </c>
    </row>
    <row r="6" ht="63.75" customHeight="1">
      <c r="A6" s="8" t="s">
        <v>10</v>
      </c>
      <c r="B6" s="9" t="s">
        <v>11</v>
      </c>
    </row>
    <row r="7" ht="63.75" customHeight="1">
      <c r="A7" s="8" t="s">
        <v>17</v>
      </c>
      <c r="B7" s="9" t="s">
        <v>18</v>
      </c>
    </row>
    <row r="8" ht="63.75" customHeight="1">
      <c r="A8" s="8" t="s">
        <v>25</v>
      </c>
      <c r="B8" s="13">
        <v>46319.0</v>
      </c>
    </row>
    <row r="9" ht="63.75" customHeight="1">
      <c r="A9" s="8" t="s">
        <v>45</v>
      </c>
      <c r="B9" s="13">
        <v>46319.0</v>
      </c>
    </row>
    <row r="10" ht="63.75" customHeight="1">
      <c r="A10" s="8" t="s">
        <v>49</v>
      </c>
      <c r="B10" s="8" t="s">
        <v>51</v>
      </c>
    </row>
    <row r="11" ht="63.75" customHeight="1">
      <c r="A11" s="8" t="s">
        <v>55</v>
      </c>
      <c r="B11" s="8" t="s">
        <v>57</v>
      </c>
    </row>
    <row r="12" ht="63.75" customHeight="1">
      <c r="A12" s="8" t="s">
        <v>58</v>
      </c>
      <c r="B12" s="8" t="s">
        <v>59</v>
      </c>
    </row>
    <row r="13" ht="63.75" customHeight="1">
      <c r="A13" s="8" t="s">
        <v>61</v>
      </c>
      <c r="B13" s="8" t="s">
        <v>62</v>
      </c>
    </row>
    <row r="14" ht="63.75" customHeight="1">
      <c r="A14" s="8" t="s">
        <v>66</v>
      </c>
      <c r="B14" s="8" t="s">
        <v>68</v>
      </c>
    </row>
    <row r="15" ht="63.75" customHeight="1">
      <c r="A15" s="8" t="s">
        <v>69</v>
      </c>
      <c r="B15" s="8" t="s">
        <v>70</v>
      </c>
    </row>
    <row r="16" ht="63.75" customHeight="1">
      <c r="A16" s="8" t="s">
        <v>71</v>
      </c>
      <c r="B16" s="8" t="s">
        <v>72</v>
      </c>
    </row>
    <row r="17" ht="63.75" customHeight="1">
      <c r="A17" s="8" t="s">
        <v>74</v>
      </c>
      <c r="B17" s="8" t="s">
        <v>76</v>
      </c>
    </row>
    <row r="18" ht="63.75" customHeight="1">
      <c r="A18" s="8" t="s">
        <v>79</v>
      </c>
      <c r="B18" s="8" t="s">
        <v>80</v>
      </c>
    </row>
    <row r="19" ht="63.75" customHeight="1">
      <c r="A19" s="8" t="s">
        <v>81</v>
      </c>
      <c r="B19" s="8" t="s">
        <v>83</v>
      </c>
    </row>
    <row r="20" ht="63.75" customHeight="1">
      <c r="A20" s="8" t="s">
        <v>88</v>
      </c>
      <c r="B20" s="8" t="s">
        <v>89</v>
      </c>
    </row>
    <row r="21" ht="63.75" customHeight="1">
      <c r="A21" s="8" t="s">
        <v>91</v>
      </c>
      <c r="B21" s="8" t="s">
        <v>92</v>
      </c>
    </row>
    <row r="22" ht="63.75" customHeight="1">
      <c r="A22" s="8" t="s">
        <v>94</v>
      </c>
      <c r="B22" s="8" t="s">
        <v>96</v>
      </c>
    </row>
    <row r="23" ht="63.75" customHeight="1">
      <c r="A23" s="8" t="s">
        <v>101</v>
      </c>
      <c r="B23" s="8" t="s">
        <v>103</v>
      </c>
    </row>
    <row r="24" ht="63.75" customHeight="1">
      <c r="A24" s="8" t="s">
        <v>106</v>
      </c>
      <c r="B24" s="8" t="s">
        <v>108</v>
      </c>
    </row>
    <row r="25" ht="63.75" customHeight="1">
      <c r="A25" s="8" t="s">
        <v>110</v>
      </c>
      <c r="B25" s="8" t="s">
        <v>113</v>
      </c>
    </row>
    <row r="26" ht="63.75" customHeight="1">
      <c r="A26" s="8" t="s">
        <v>117</v>
      </c>
      <c r="B26" s="8" t="s">
        <v>120</v>
      </c>
    </row>
    <row r="27" ht="63.75" customHeight="1">
      <c r="A27" s="8" t="s">
        <v>123</v>
      </c>
      <c r="B27" s="8" t="s">
        <v>124</v>
      </c>
    </row>
    <row r="28" ht="63.75" customHeight="1">
      <c r="A28" s="8" t="s">
        <v>129</v>
      </c>
      <c r="B28" s="8" t="s">
        <v>132</v>
      </c>
    </row>
    <row r="29" ht="63.75" customHeight="1">
      <c r="A29" s="8" t="s">
        <v>134</v>
      </c>
      <c r="B29" s="8" t="s">
        <v>137</v>
      </c>
    </row>
    <row r="30" ht="63.75" customHeight="1">
      <c r="A30" s="8" t="s">
        <v>144</v>
      </c>
      <c r="B30" s="8" t="s">
        <v>147</v>
      </c>
    </row>
    <row r="31" ht="63.75" customHeight="1">
      <c r="A31" s="8" t="s">
        <v>151</v>
      </c>
      <c r="B31" s="8" t="s">
        <v>153</v>
      </c>
    </row>
    <row r="32" ht="63.75" customHeight="1">
      <c r="A32" s="8" t="s">
        <v>157</v>
      </c>
      <c r="B32" s="8" t="s">
        <v>160</v>
      </c>
    </row>
    <row r="33" ht="63.75" customHeight="1">
      <c r="A33" s="8" t="s">
        <v>164</v>
      </c>
      <c r="B33" s="8" t="s">
        <v>166</v>
      </c>
    </row>
    <row r="34" ht="63.75" customHeight="1">
      <c r="A34" s="8" t="s">
        <v>168</v>
      </c>
      <c r="B34" s="8" t="s">
        <v>169</v>
      </c>
    </row>
    <row r="35" ht="63.75" customHeight="1">
      <c r="A35" s="8" t="s">
        <v>172</v>
      </c>
      <c r="B35" s="9" t="s">
        <v>126</v>
      </c>
    </row>
    <row r="36" ht="63.75" customHeight="1">
      <c r="A36" s="8" t="s">
        <v>176</v>
      </c>
      <c r="B36" s="9" t="s">
        <v>178</v>
      </c>
    </row>
    <row r="37" ht="63.75" customHeight="1">
      <c r="A37" s="8" t="s">
        <v>181</v>
      </c>
      <c r="B37" s="8" t="s">
        <v>182</v>
      </c>
    </row>
    <row r="38" ht="63.75" customHeight="1">
      <c r="A38" s="8" t="s">
        <v>186</v>
      </c>
      <c r="B38" s="8" t="s">
        <v>188</v>
      </c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/>
  <cols>
    <col customWidth="1" min="1" max="1" width="10.0"/>
    <col customWidth="1" min="2" max="2" width="9.0"/>
    <col customWidth="1" min="3" max="3" width="42.0"/>
    <col customWidth="1" min="4" max="4" width="30.0"/>
    <col customWidth="1" min="5" max="5" width="57.0"/>
    <col customWidth="1" min="6" max="6" width="18.0"/>
    <col customWidth="1" min="7" max="7" width="46.0"/>
    <col customWidth="1" min="8" max="8" width="20.0"/>
    <col customWidth="1" min="9" max="9" width="18.0"/>
    <col customWidth="1" min="10" max="10" width="46.0"/>
    <col customWidth="1" min="11" max="12" width="20.0"/>
    <col customWidth="1" min="13" max="13" width="23.0"/>
    <col customWidth="1" min="14" max="14" width="48.0"/>
    <col customWidth="1" min="15" max="15" width="20.0"/>
    <col customWidth="1" min="16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6" t="s">
        <v>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36.0" customHeight="1">
      <c r="A5" s="10" t="s">
        <v>12</v>
      </c>
      <c r="B5" s="10" t="s">
        <v>14</v>
      </c>
      <c r="C5" s="10" t="s">
        <v>16</v>
      </c>
      <c r="D5" s="10" t="s">
        <v>20</v>
      </c>
      <c r="E5" s="10" t="s">
        <v>22</v>
      </c>
      <c r="F5" s="10" t="s">
        <v>27</v>
      </c>
      <c r="G5" s="10" t="s">
        <v>29</v>
      </c>
      <c r="H5" s="10" t="s">
        <v>31</v>
      </c>
      <c r="I5" s="10" t="s">
        <v>32</v>
      </c>
      <c r="J5" s="10" t="s">
        <v>34</v>
      </c>
      <c r="K5" s="10" t="s">
        <v>35</v>
      </c>
      <c r="L5" s="10" t="s">
        <v>37</v>
      </c>
      <c r="M5" s="10" t="s">
        <v>38</v>
      </c>
      <c r="N5" s="10" t="s">
        <v>40</v>
      </c>
      <c r="O5" s="10" t="s">
        <v>41</v>
      </c>
    </row>
    <row r="6" ht="145.5" customHeight="1">
      <c r="A6" s="8" t="s">
        <v>42</v>
      </c>
      <c r="B6" s="8" t="s">
        <v>47</v>
      </c>
      <c r="C6" s="8" t="s">
        <v>50</v>
      </c>
      <c r="D6" s="8" t="s">
        <v>52</v>
      </c>
      <c r="E6" s="8" t="s">
        <v>53</v>
      </c>
      <c r="F6" s="9" t="s">
        <v>118</v>
      </c>
      <c r="G6" s="9" t="s">
        <v>122</v>
      </c>
      <c r="H6" s="9" t="s">
        <v>126</v>
      </c>
      <c r="I6" s="9" t="s">
        <v>118</v>
      </c>
      <c r="J6" s="9" t="s">
        <v>155</v>
      </c>
      <c r="K6" s="9" t="s">
        <v>126</v>
      </c>
      <c r="L6" s="19"/>
      <c r="M6" s="19"/>
      <c r="N6" s="19"/>
      <c r="O6" s="8" t="str">
        <f t="shared" ref="O6:O20" si="1">IF(OR(F6="",I6=""),"未完成",IF(F6=I6,"一致","有分歧"))</f>
        <v>一致</v>
      </c>
    </row>
    <row r="7" ht="145.5" customHeight="1">
      <c r="A7" s="8" t="s">
        <v>42</v>
      </c>
      <c r="B7" s="8" t="s">
        <v>223</v>
      </c>
      <c r="C7" s="8" t="s">
        <v>50</v>
      </c>
      <c r="D7" s="8" t="s">
        <v>224</v>
      </c>
      <c r="E7" s="8" t="s">
        <v>53</v>
      </c>
      <c r="F7" s="9" t="s">
        <v>228</v>
      </c>
      <c r="G7" s="9" t="s">
        <v>229</v>
      </c>
      <c r="H7" s="9" t="s">
        <v>126</v>
      </c>
      <c r="I7" s="9" t="s">
        <v>228</v>
      </c>
      <c r="J7" s="9" t="s">
        <v>232</v>
      </c>
      <c r="K7" s="9" t="s">
        <v>126</v>
      </c>
      <c r="L7" s="19"/>
      <c r="M7" s="19"/>
      <c r="N7" s="19"/>
      <c r="O7" s="8" t="str">
        <f t="shared" si="1"/>
        <v>一致</v>
      </c>
    </row>
    <row r="8" ht="145.5" customHeight="1">
      <c r="A8" s="8" t="s">
        <v>98</v>
      </c>
      <c r="B8" s="8" t="s">
        <v>47</v>
      </c>
      <c r="C8" s="8" t="s">
        <v>100</v>
      </c>
      <c r="D8" s="8" t="s">
        <v>240</v>
      </c>
      <c r="E8" s="8" t="s">
        <v>242</v>
      </c>
      <c r="F8" s="9" t="s">
        <v>245</v>
      </c>
      <c r="G8" s="9" t="s">
        <v>246</v>
      </c>
      <c r="H8" s="9" t="s">
        <v>247</v>
      </c>
      <c r="I8" s="9" t="s">
        <v>245</v>
      </c>
      <c r="J8" s="9" t="s">
        <v>250</v>
      </c>
      <c r="K8" s="9" t="s">
        <v>247</v>
      </c>
      <c r="L8" s="19"/>
      <c r="M8" s="19"/>
      <c r="N8" s="19"/>
      <c r="O8" s="8" t="str">
        <f t="shared" si="1"/>
        <v>一致</v>
      </c>
    </row>
    <row r="9" ht="145.5" customHeight="1">
      <c r="A9" s="8" t="s">
        <v>98</v>
      </c>
      <c r="B9" s="8" t="s">
        <v>223</v>
      </c>
      <c r="C9" s="8" t="s">
        <v>100</v>
      </c>
      <c r="D9" s="8" t="s">
        <v>257</v>
      </c>
      <c r="E9" s="8" t="s">
        <v>242</v>
      </c>
      <c r="F9" s="9" t="s">
        <v>259</v>
      </c>
      <c r="G9" s="9" t="s">
        <v>261</v>
      </c>
      <c r="H9" s="9" t="s">
        <v>247</v>
      </c>
      <c r="I9" s="9" t="s">
        <v>228</v>
      </c>
      <c r="J9" s="9" t="s">
        <v>264</v>
      </c>
      <c r="K9" s="9" t="s">
        <v>247</v>
      </c>
      <c r="L9" s="19"/>
      <c r="M9" s="19"/>
      <c r="N9" s="19"/>
      <c r="O9" s="8" t="str">
        <f t="shared" si="1"/>
        <v>有分歧</v>
      </c>
    </row>
    <row r="10" ht="145.5" customHeight="1">
      <c r="A10" s="8" t="s">
        <v>111</v>
      </c>
      <c r="B10" s="8" t="s">
        <v>47</v>
      </c>
      <c r="C10" s="8" t="s">
        <v>114</v>
      </c>
      <c r="D10" s="8" t="s">
        <v>52</v>
      </c>
      <c r="E10" s="8" t="s">
        <v>265</v>
      </c>
      <c r="F10" s="9" t="s">
        <v>118</v>
      </c>
      <c r="G10" s="9" t="s">
        <v>266</v>
      </c>
      <c r="H10" s="9" t="s">
        <v>267</v>
      </c>
      <c r="I10" s="9" t="s">
        <v>118</v>
      </c>
      <c r="J10" s="9" t="s">
        <v>268</v>
      </c>
      <c r="K10" s="9" t="s">
        <v>267</v>
      </c>
      <c r="L10" s="19"/>
      <c r="M10" s="19"/>
      <c r="N10" s="19"/>
      <c r="O10" s="8" t="str">
        <f t="shared" si="1"/>
        <v>一致</v>
      </c>
    </row>
    <row r="11" ht="145.5" customHeight="1">
      <c r="A11" s="8" t="s">
        <v>125</v>
      </c>
      <c r="B11" s="8" t="s">
        <v>47</v>
      </c>
      <c r="C11" s="8" t="s">
        <v>127</v>
      </c>
      <c r="D11" s="8" t="s">
        <v>269</v>
      </c>
      <c r="E11" s="8" t="s">
        <v>270</v>
      </c>
      <c r="F11" s="9" t="s">
        <v>271</v>
      </c>
      <c r="G11" s="9" t="s">
        <v>272</v>
      </c>
      <c r="H11" s="9" t="s">
        <v>273</v>
      </c>
      <c r="I11" s="9" t="s">
        <v>118</v>
      </c>
      <c r="J11" s="9" t="s">
        <v>274</v>
      </c>
      <c r="K11" s="9" t="s">
        <v>275</v>
      </c>
      <c r="L11" s="19"/>
      <c r="M11" s="19"/>
      <c r="N11" s="19"/>
      <c r="O11" s="8" t="str">
        <f t="shared" si="1"/>
        <v>有分歧</v>
      </c>
    </row>
    <row r="12" ht="145.5" customHeight="1">
      <c r="A12" s="8" t="s">
        <v>135</v>
      </c>
      <c r="B12" s="8" t="s">
        <v>47</v>
      </c>
      <c r="C12" s="8" t="s">
        <v>138</v>
      </c>
      <c r="D12" s="8" t="s">
        <v>276</v>
      </c>
      <c r="E12" s="8" t="s">
        <v>277</v>
      </c>
      <c r="F12" s="9" t="s">
        <v>245</v>
      </c>
      <c r="G12" s="9" t="s">
        <v>278</v>
      </c>
      <c r="H12" s="9" t="s">
        <v>279</v>
      </c>
      <c r="I12" s="9" t="s">
        <v>245</v>
      </c>
      <c r="J12" s="9" t="s">
        <v>250</v>
      </c>
      <c r="K12" s="9" t="s">
        <v>247</v>
      </c>
      <c r="L12" s="19"/>
      <c r="M12" s="19"/>
      <c r="N12" s="19"/>
      <c r="O12" s="8" t="str">
        <f t="shared" si="1"/>
        <v>一致</v>
      </c>
    </row>
    <row r="13" ht="145.5" customHeight="1">
      <c r="A13" s="8" t="s">
        <v>148</v>
      </c>
      <c r="B13" s="8" t="s">
        <v>47</v>
      </c>
      <c r="C13" s="8" t="s">
        <v>149</v>
      </c>
      <c r="D13" s="8" t="s">
        <v>280</v>
      </c>
      <c r="E13" s="8" t="s">
        <v>53</v>
      </c>
      <c r="F13" s="9" t="s">
        <v>118</v>
      </c>
      <c r="G13" s="9" t="s">
        <v>281</v>
      </c>
      <c r="H13" s="9" t="s">
        <v>126</v>
      </c>
      <c r="I13" s="9" t="s">
        <v>118</v>
      </c>
      <c r="J13" s="9" t="s">
        <v>282</v>
      </c>
      <c r="K13" s="9" t="s">
        <v>126</v>
      </c>
      <c r="L13" s="19"/>
      <c r="M13" s="19"/>
      <c r="N13" s="19"/>
      <c r="O13" s="8" t="str">
        <f t="shared" si="1"/>
        <v>一致</v>
      </c>
    </row>
    <row r="14" ht="145.5" customHeight="1">
      <c r="A14" s="8" t="s">
        <v>148</v>
      </c>
      <c r="B14" s="8" t="s">
        <v>223</v>
      </c>
      <c r="C14" s="8" t="s">
        <v>149</v>
      </c>
      <c r="D14" s="8" t="s">
        <v>283</v>
      </c>
      <c r="E14" s="8" t="s">
        <v>53</v>
      </c>
      <c r="F14" s="9" t="s">
        <v>228</v>
      </c>
      <c r="G14" s="9" t="s">
        <v>284</v>
      </c>
      <c r="H14" s="9" t="s">
        <v>126</v>
      </c>
      <c r="I14" s="9" t="s">
        <v>228</v>
      </c>
      <c r="J14" s="9" t="s">
        <v>285</v>
      </c>
      <c r="K14" s="9" t="s">
        <v>126</v>
      </c>
      <c r="L14" s="19"/>
      <c r="M14" s="19"/>
      <c r="N14" s="19"/>
      <c r="O14" s="8" t="str">
        <f t="shared" si="1"/>
        <v>一致</v>
      </c>
    </row>
    <row r="15" ht="145.5" customHeight="1">
      <c r="A15" s="8" t="s">
        <v>159</v>
      </c>
      <c r="B15" s="8" t="s">
        <v>47</v>
      </c>
      <c r="C15" s="8" t="s">
        <v>161</v>
      </c>
      <c r="D15" s="8" t="s">
        <v>286</v>
      </c>
      <c r="E15" s="8" t="s">
        <v>53</v>
      </c>
      <c r="F15" s="9" t="s">
        <v>271</v>
      </c>
      <c r="G15" s="9" t="s">
        <v>287</v>
      </c>
      <c r="H15" s="9" t="s">
        <v>126</v>
      </c>
      <c r="I15" s="9" t="s">
        <v>271</v>
      </c>
      <c r="J15" s="9" t="s">
        <v>288</v>
      </c>
      <c r="K15" s="9" t="s">
        <v>126</v>
      </c>
      <c r="L15" s="19"/>
      <c r="M15" s="19"/>
      <c r="N15" s="19"/>
      <c r="O15" s="8" t="str">
        <f t="shared" si="1"/>
        <v>一致</v>
      </c>
    </row>
    <row r="16" ht="145.5" customHeight="1">
      <c r="A16" s="8" t="s">
        <v>173</v>
      </c>
      <c r="B16" s="8" t="s">
        <v>47</v>
      </c>
      <c r="C16" s="8" t="s">
        <v>174</v>
      </c>
      <c r="D16" s="8" t="s">
        <v>52</v>
      </c>
      <c r="E16" s="8" t="s">
        <v>289</v>
      </c>
      <c r="F16" s="9" t="s">
        <v>118</v>
      </c>
      <c r="G16" s="9" t="s">
        <v>290</v>
      </c>
      <c r="H16" s="9" t="s">
        <v>291</v>
      </c>
      <c r="I16" s="9" t="s">
        <v>118</v>
      </c>
      <c r="J16" s="9" t="s">
        <v>292</v>
      </c>
      <c r="K16" s="9" t="s">
        <v>293</v>
      </c>
      <c r="L16" s="19"/>
      <c r="M16" s="19"/>
      <c r="N16" s="19"/>
      <c r="O16" s="8" t="str">
        <f t="shared" si="1"/>
        <v>一致</v>
      </c>
    </row>
    <row r="17" ht="145.5" customHeight="1">
      <c r="A17" s="8" t="s">
        <v>185</v>
      </c>
      <c r="B17" s="8" t="s">
        <v>47</v>
      </c>
      <c r="C17" s="8" t="s">
        <v>187</v>
      </c>
      <c r="D17" s="8" t="s">
        <v>294</v>
      </c>
      <c r="E17" s="8" t="s">
        <v>295</v>
      </c>
      <c r="F17" s="9" t="s">
        <v>245</v>
      </c>
      <c r="G17" s="9" t="s">
        <v>296</v>
      </c>
      <c r="H17" s="9" t="s">
        <v>247</v>
      </c>
      <c r="I17" s="9" t="s">
        <v>245</v>
      </c>
      <c r="J17" s="9" t="s">
        <v>250</v>
      </c>
      <c r="K17" s="9" t="s">
        <v>247</v>
      </c>
      <c r="L17" s="19"/>
      <c r="M17" s="19"/>
      <c r="N17" s="19"/>
      <c r="O17" s="8" t="str">
        <f t="shared" si="1"/>
        <v>一致</v>
      </c>
    </row>
    <row r="18" ht="145.5" customHeight="1">
      <c r="A18" s="8" t="s">
        <v>185</v>
      </c>
      <c r="B18" s="8" t="s">
        <v>223</v>
      </c>
      <c r="C18" s="8" t="s">
        <v>187</v>
      </c>
      <c r="D18" s="8" t="s">
        <v>297</v>
      </c>
      <c r="E18" s="8" t="s">
        <v>295</v>
      </c>
      <c r="F18" s="9" t="s">
        <v>118</v>
      </c>
      <c r="G18" s="9" t="s">
        <v>298</v>
      </c>
      <c r="H18" s="9" t="s">
        <v>299</v>
      </c>
      <c r="I18" s="9" t="s">
        <v>228</v>
      </c>
      <c r="J18" s="9" t="s">
        <v>300</v>
      </c>
      <c r="K18" s="9" t="s">
        <v>247</v>
      </c>
      <c r="L18" s="19"/>
      <c r="M18" s="19"/>
      <c r="N18" s="19"/>
      <c r="O18" s="8" t="str">
        <f t="shared" si="1"/>
        <v>有分歧</v>
      </c>
    </row>
    <row r="19" ht="145.5" customHeight="1">
      <c r="A19" s="8" t="s">
        <v>196</v>
      </c>
      <c r="B19" s="8" t="s">
        <v>47</v>
      </c>
      <c r="C19" s="8" t="s">
        <v>197</v>
      </c>
      <c r="D19" s="8" t="s">
        <v>301</v>
      </c>
      <c r="E19" s="8" t="s">
        <v>302</v>
      </c>
      <c r="F19" s="9" t="s">
        <v>245</v>
      </c>
      <c r="G19" s="9" t="s">
        <v>303</v>
      </c>
      <c r="H19" s="9" t="s">
        <v>279</v>
      </c>
      <c r="I19" s="9" t="s">
        <v>245</v>
      </c>
      <c r="J19" s="9" t="s">
        <v>250</v>
      </c>
      <c r="K19" s="9" t="s">
        <v>247</v>
      </c>
      <c r="L19" s="19"/>
      <c r="M19" s="19"/>
      <c r="N19" s="19"/>
      <c r="O19" s="8" t="str">
        <f t="shared" si="1"/>
        <v>一致</v>
      </c>
    </row>
    <row r="20" ht="145.5" customHeight="1">
      <c r="A20" s="8" t="s">
        <v>196</v>
      </c>
      <c r="B20" s="8" t="s">
        <v>223</v>
      </c>
      <c r="C20" s="8" t="s">
        <v>197</v>
      </c>
      <c r="D20" s="8" t="s">
        <v>283</v>
      </c>
      <c r="E20" s="8" t="s">
        <v>302</v>
      </c>
      <c r="F20" s="9" t="s">
        <v>245</v>
      </c>
      <c r="G20" s="9" t="s">
        <v>304</v>
      </c>
      <c r="H20" s="9" t="s">
        <v>279</v>
      </c>
      <c r="I20" s="9" t="s">
        <v>228</v>
      </c>
      <c r="J20" s="9" t="s">
        <v>305</v>
      </c>
      <c r="K20" s="9" t="s">
        <v>247</v>
      </c>
      <c r="L20" s="19"/>
      <c r="M20" s="19"/>
      <c r="N20" s="19"/>
      <c r="O20" s="8" t="str">
        <f t="shared" si="1"/>
        <v>有分歧</v>
      </c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6:F20 I6:I20 L6:L20">
      <formula1>"支持,部分支持,證據不足,過度推論,無關"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4.75"/>
    <col customWidth="1" min="2" max="2" width="48.0"/>
    <col customWidth="1" min="3" max="3" width="30.0"/>
    <col customWidth="1" min="4" max="4" width="52.0"/>
    <col customWidth="1" min="5" max="5" width="30.0"/>
    <col customWidth="1" min="6" max="6" width="52.0"/>
    <col customWidth="1" min="7" max="7" width="30.0"/>
    <col customWidth="1" min="8" max="8" width="24.0"/>
    <col customWidth="1" min="9" max="9" width="52.0"/>
    <col customWidth="1" min="10" max="26" width="8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4" t="s">
        <v>5</v>
      </c>
      <c r="B2" s="1"/>
      <c r="C2" s="1"/>
      <c r="D2" s="1"/>
      <c r="E2" s="1"/>
      <c r="F2" s="1"/>
      <c r="G2" s="1"/>
      <c r="H2" s="1"/>
      <c r="I2" s="1"/>
    </row>
    <row r="3">
      <c r="A3" s="6" t="s">
        <v>8</v>
      </c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36.0" customHeight="1">
      <c r="A5" s="10" t="s">
        <v>12</v>
      </c>
      <c r="B5" s="10" t="s">
        <v>16</v>
      </c>
      <c r="C5" s="10" t="s">
        <v>23</v>
      </c>
      <c r="D5" s="10" t="s">
        <v>26</v>
      </c>
      <c r="E5" s="10" t="s">
        <v>30</v>
      </c>
      <c r="F5" s="10" t="s">
        <v>33</v>
      </c>
      <c r="G5" s="10" t="s">
        <v>36</v>
      </c>
      <c r="H5" s="10" t="s">
        <v>38</v>
      </c>
      <c r="I5" s="10" t="s">
        <v>40</v>
      </c>
    </row>
    <row r="6" ht="99.75" customHeight="1">
      <c r="A6" s="14" t="s">
        <v>42</v>
      </c>
      <c r="B6" s="14" t="s">
        <v>50</v>
      </c>
      <c r="C6" s="16" t="s">
        <v>56</v>
      </c>
      <c r="D6" s="16" t="s">
        <v>64</v>
      </c>
      <c r="E6" s="17" t="s">
        <v>85</v>
      </c>
      <c r="F6" s="17" t="s">
        <v>90</v>
      </c>
      <c r="G6" s="18"/>
      <c r="H6" s="19"/>
      <c r="I6" s="19"/>
    </row>
    <row r="7" ht="99.75" customHeight="1">
      <c r="A7" s="14" t="s">
        <v>98</v>
      </c>
      <c r="B7" s="14" t="s">
        <v>100</v>
      </c>
      <c r="C7" s="16" t="s">
        <v>102</v>
      </c>
      <c r="D7" s="16" t="s">
        <v>104</v>
      </c>
      <c r="E7" s="17" t="s">
        <v>105</v>
      </c>
      <c r="F7" s="17" t="s">
        <v>107</v>
      </c>
      <c r="G7" s="18"/>
      <c r="H7" s="19"/>
      <c r="I7" s="19"/>
    </row>
    <row r="8" ht="99.75" customHeight="1">
      <c r="A8" s="14" t="s">
        <v>111</v>
      </c>
      <c r="B8" s="14" t="s">
        <v>114</v>
      </c>
      <c r="C8" s="16" t="s">
        <v>82</v>
      </c>
      <c r="D8" s="16" t="s">
        <v>116</v>
      </c>
      <c r="E8" s="17" t="s">
        <v>119</v>
      </c>
      <c r="F8" s="17" t="s">
        <v>121</v>
      </c>
      <c r="G8" s="18"/>
      <c r="H8" s="19"/>
      <c r="I8" s="19"/>
    </row>
    <row r="9" ht="99.75" customHeight="1">
      <c r="A9" s="14" t="s">
        <v>125</v>
      </c>
      <c r="B9" s="14" t="s">
        <v>127</v>
      </c>
      <c r="C9" s="16" t="s">
        <v>128</v>
      </c>
      <c r="D9" s="16" t="s">
        <v>130</v>
      </c>
      <c r="E9" s="17" t="s">
        <v>131</v>
      </c>
      <c r="F9" s="17" t="s">
        <v>133</v>
      </c>
      <c r="G9" s="18"/>
      <c r="H9" s="19"/>
      <c r="I9" s="19"/>
    </row>
    <row r="10" ht="99.75" customHeight="1">
      <c r="A10" s="14" t="s">
        <v>135</v>
      </c>
      <c r="B10" s="14" t="s">
        <v>138</v>
      </c>
      <c r="C10" s="16" t="s">
        <v>140</v>
      </c>
      <c r="D10" s="16" t="s">
        <v>142</v>
      </c>
      <c r="E10" s="17" t="s">
        <v>143</v>
      </c>
      <c r="F10" s="17" t="s">
        <v>145</v>
      </c>
      <c r="G10" s="18"/>
      <c r="H10" s="19"/>
      <c r="I10" s="19"/>
    </row>
    <row r="11" ht="99.75" customHeight="1">
      <c r="A11" s="14" t="s">
        <v>148</v>
      </c>
      <c r="B11" s="14" t="s">
        <v>149</v>
      </c>
      <c r="C11" s="16" t="s">
        <v>150</v>
      </c>
      <c r="D11" s="16" t="s">
        <v>152</v>
      </c>
      <c r="E11" s="17" t="s">
        <v>154</v>
      </c>
      <c r="F11" s="17" t="s">
        <v>156</v>
      </c>
      <c r="G11" s="18"/>
      <c r="H11" s="19"/>
      <c r="I11" s="19"/>
    </row>
    <row r="12" ht="99.75" customHeight="1">
      <c r="A12" s="14" t="s">
        <v>159</v>
      </c>
      <c r="B12" s="14" t="s">
        <v>161</v>
      </c>
      <c r="C12" s="20"/>
      <c r="D12" s="16" t="s">
        <v>167</v>
      </c>
      <c r="E12" s="17" t="s">
        <v>126</v>
      </c>
      <c r="F12" s="17" t="s">
        <v>170</v>
      </c>
      <c r="G12" s="18"/>
      <c r="H12" s="19"/>
      <c r="I12" s="19"/>
    </row>
    <row r="13" ht="99.75" customHeight="1">
      <c r="A13" s="14" t="s">
        <v>173</v>
      </c>
      <c r="B13" s="14" t="s">
        <v>174</v>
      </c>
      <c r="C13" s="16" t="s">
        <v>175</v>
      </c>
      <c r="D13" s="16" t="s">
        <v>177</v>
      </c>
      <c r="E13" s="17" t="s">
        <v>179</v>
      </c>
      <c r="F13" s="17" t="s">
        <v>180</v>
      </c>
      <c r="G13" s="18"/>
      <c r="H13" s="19"/>
      <c r="I13" s="19"/>
    </row>
    <row r="14" ht="99.75" customHeight="1">
      <c r="A14" s="14" t="s">
        <v>185</v>
      </c>
      <c r="B14" s="14" t="s">
        <v>187</v>
      </c>
      <c r="C14" s="16" t="s">
        <v>189</v>
      </c>
      <c r="D14" s="16" t="s">
        <v>190</v>
      </c>
      <c r="E14" s="17" t="s">
        <v>191</v>
      </c>
      <c r="F14" s="17" t="s">
        <v>192</v>
      </c>
      <c r="G14" s="18"/>
      <c r="H14" s="19"/>
      <c r="I14" s="19"/>
    </row>
    <row r="15" ht="99.75" customHeight="1">
      <c r="A15" s="14" t="s">
        <v>196</v>
      </c>
      <c r="B15" s="14" t="s">
        <v>197</v>
      </c>
      <c r="C15" s="16" t="s">
        <v>198</v>
      </c>
      <c r="D15" s="16" t="s">
        <v>199</v>
      </c>
      <c r="E15" s="17" t="s">
        <v>200</v>
      </c>
      <c r="F15" s="17" t="s">
        <v>201</v>
      </c>
      <c r="G15" s="18"/>
      <c r="H15" s="19"/>
      <c r="I15" s="19"/>
    </row>
    <row r="16">
      <c r="A16" s="21"/>
      <c r="B16" s="21"/>
      <c r="C16" s="21"/>
      <c r="D16" s="21"/>
      <c r="E16" s="21"/>
      <c r="F16" s="21"/>
      <c r="G16" s="21"/>
      <c r="H16" s="1"/>
      <c r="I16" s="1"/>
    </row>
    <row r="17">
      <c r="A17" s="21"/>
      <c r="B17" s="21"/>
      <c r="C17" s="21"/>
      <c r="D17" s="21"/>
      <c r="E17" s="21"/>
      <c r="F17" s="21"/>
      <c r="G17" s="21"/>
      <c r="H17" s="1"/>
      <c r="I17" s="1"/>
    </row>
    <row r="18">
      <c r="A18" s="22"/>
      <c r="B18" s="22"/>
      <c r="C18" s="22"/>
      <c r="D18" s="22"/>
      <c r="E18" s="22"/>
      <c r="F18" s="22"/>
      <c r="G18" s="22"/>
    </row>
    <row r="19">
      <c r="A19" s="22"/>
      <c r="B19" s="22"/>
      <c r="C19" s="22"/>
      <c r="D19" s="22"/>
      <c r="E19" s="22"/>
      <c r="F19" s="22"/>
      <c r="G19" s="22"/>
    </row>
    <row r="20">
      <c r="A20" s="22"/>
      <c r="B20" s="22"/>
      <c r="C20" s="22"/>
      <c r="D20" s="22"/>
      <c r="E20" s="22"/>
      <c r="F20" s="22"/>
      <c r="G20" s="22"/>
    </row>
    <row r="21" ht="15.75" customHeight="1">
      <c r="A21" s="22"/>
      <c r="B21" s="22"/>
      <c r="C21" s="22"/>
      <c r="D21" s="22"/>
      <c r="E21" s="22"/>
      <c r="F21" s="22"/>
      <c r="G21" s="22"/>
    </row>
    <row r="22" ht="15.75" customHeight="1">
      <c r="A22" s="22"/>
      <c r="B22" s="22"/>
      <c r="C22" s="22"/>
      <c r="D22" s="22"/>
      <c r="E22" s="22"/>
      <c r="F22" s="22"/>
      <c r="G22" s="22"/>
    </row>
    <row r="23" ht="15.75" customHeight="1">
      <c r="A23" s="22"/>
      <c r="B23" s="22"/>
      <c r="C23" s="22"/>
      <c r="D23" s="22"/>
      <c r="E23" s="22"/>
      <c r="F23" s="22"/>
      <c r="G23" s="22"/>
    </row>
    <row r="24" ht="15.75" customHeight="1">
      <c r="A24" s="22"/>
      <c r="B24" s="22"/>
      <c r="C24" s="22"/>
      <c r="D24" s="22"/>
      <c r="E24" s="22"/>
      <c r="F24" s="22"/>
      <c r="G24" s="22"/>
    </row>
    <row r="25" ht="15.75" customHeight="1">
      <c r="A25" s="22"/>
      <c r="B25" s="22"/>
      <c r="C25" s="22"/>
      <c r="D25" s="22"/>
      <c r="E25" s="22"/>
      <c r="F25" s="22"/>
      <c r="G25" s="2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2" width="12.0"/>
    <col customWidth="1" min="3" max="3" width="48.0"/>
    <col customWidth="1" min="4" max="4" width="96.0"/>
    <col customWidth="1" min="5" max="5" width="65.0"/>
    <col customWidth="1" min="6" max="6" width="16.0"/>
    <col customWidth="1" min="7" max="26" width="8.63"/>
  </cols>
  <sheetData>
    <row r="1">
      <c r="A1" s="2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</v>
      </c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7</v>
      </c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2"/>
      <c r="C4" s="2"/>
      <c r="D4" s="2"/>
      <c r="E4" s="2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6.0" customHeight="1">
      <c r="A5" s="11" t="s">
        <v>13</v>
      </c>
      <c r="B5" s="11" t="s">
        <v>15</v>
      </c>
      <c r="C5" s="11" t="s">
        <v>19</v>
      </c>
      <c r="D5" s="11" t="s">
        <v>21</v>
      </c>
      <c r="E5" s="11" t="s">
        <v>24</v>
      </c>
      <c r="F5" s="11" t="s">
        <v>28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1.75" customHeight="1">
      <c r="A6" s="12" t="s">
        <v>39</v>
      </c>
      <c r="B6" s="12" t="s">
        <v>43</v>
      </c>
      <c r="C6" s="12" t="s">
        <v>44</v>
      </c>
      <c r="D6" s="12" t="s">
        <v>46</v>
      </c>
      <c r="E6" s="15" t="s">
        <v>48</v>
      </c>
      <c r="F6" s="15" t="s">
        <v>54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81.75" customHeight="1">
      <c r="A7" s="12" t="s">
        <v>60</v>
      </c>
      <c r="B7" s="12" t="s">
        <v>43</v>
      </c>
      <c r="C7" s="12" t="s">
        <v>63</v>
      </c>
      <c r="D7" s="12" t="s">
        <v>65</v>
      </c>
      <c r="E7" s="15" t="s">
        <v>67</v>
      </c>
      <c r="F7" s="15" t="s">
        <v>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81.75" customHeight="1">
      <c r="A8" s="12" t="s">
        <v>73</v>
      </c>
      <c r="B8" s="12" t="s">
        <v>43</v>
      </c>
      <c r="C8" s="12" t="s">
        <v>75</v>
      </c>
      <c r="D8" s="12" t="s">
        <v>77</v>
      </c>
      <c r="E8" s="15" t="s">
        <v>78</v>
      </c>
      <c r="F8" s="15" t="s">
        <v>54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81.75" customHeight="1">
      <c r="A9" s="12" t="s">
        <v>82</v>
      </c>
      <c r="B9" s="12" t="s">
        <v>43</v>
      </c>
      <c r="C9" s="12" t="s">
        <v>84</v>
      </c>
      <c r="D9" s="12" t="s">
        <v>86</v>
      </c>
      <c r="E9" s="15" t="s">
        <v>87</v>
      </c>
      <c r="F9" s="15" t="s">
        <v>54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81.75" customHeight="1">
      <c r="A10" s="12" t="s">
        <v>93</v>
      </c>
      <c r="B10" s="12" t="s">
        <v>43</v>
      </c>
      <c r="C10" s="12" t="s">
        <v>95</v>
      </c>
      <c r="D10" s="12" t="s">
        <v>97</v>
      </c>
      <c r="E10" s="15" t="s">
        <v>99</v>
      </c>
      <c r="F10" s="15" t="s">
        <v>54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81.75" customHeight="1">
      <c r="A11" s="12" t="s">
        <v>109</v>
      </c>
      <c r="B11" s="12" t="s">
        <v>43</v>
      </c>
      <c r="C11" s="12" t="s">
        <v>112</v>
      </c>
      <c r="D11" s="12" t="s">
        <v>115</v>
      </c>
      <c r="E11" s="15" t="s">
        <v>99</v>
      </c>
      <c r="F11" s="15" t="s">
        <v>54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81.75" customHeight="1">
      <c r="A12" s="12" t="s">
        <v>136</v>
      </c>
      <c r="B12" s="12" t="s">
        <v>43</v>
      </c>
      <c r="C12" s="12" t="s">
        <v>139</v>
      </c>
      <c r="D12" s="12" t="s">
        <v>141</v>
      </c>
      <c r="E12" s="15" t="s">
        <v>146</v>
      </c>
      <c r="F12" s="15" t="s">
        <v>54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81.75" customHeight="1">
      <c r="A13" s="12" t="s">
        <v>158</v>
      </c>
      <c r="B13" s="12" t="s">
        <v>43</v>
      </c>
      <c r="C13" s="12" t="s">
        <v>162</v>
      </c>
      <c r="D13" s="12" t="s">
        <v>163</v>
      </c>
      <c r="E13" s="15" t="s">
        <v>165</v>
      </c>
      <c r="F13" s="15" t="s">
        <v>54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81.75" customHeight="1">
      <c r="A14" s="12" t="s">
        <v>171</v>
      </c>
      <c r="B14" s="12" t="s">
        <v>43</v>
      </c>
      <c r="C14" s="12" t="s">
        <v>183</v>
      </c>
      <c r="D14" s="12" t="s">
        <v>184</v>
      </c>
      <c r="E14" s="15" t="s">
        <v>165</v>
      </c>
      <c r="F14" s="15" t="s">
        <v>54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81.75" customHeight="1">
      <c r="A15" s="12" t="s">
        <v>193</v>
      </c>
      <c r="B15" s="12" t="s">
        <v>43</v>
      </c>
      <c r="C15" s="12" t="s">
        <v>194</v>
      </c>
      <c r="D15" s="12" t="s">
        <v>195</v>
      </c>
      <c r="E15" s="15" t="s">
        <v>165</v>
      </c>
      <c r="F15" s="15" t="s">
        <v>54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81.75" customHeight="1">
      <c r="A16" s="12" t="s">
        <v>202</v>
      </c>
      <c r="B16" s="12" t="s">
        <v>43</v>
      </c>
      <c r="C16" s="12" t="s">
        <v>203</v>
      </c>
      <c r="D16" s="12" t="s">
        <v>204</v>
      </c>
      <c r="E16" s="15" t="s">
        <v>205</v>
      </c>
      <c r="F16" s="15" t="s">
        <v>54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81.75" customHeight="1">
      <c r="A17" s="12" t="s">
        <v>206</v>
      </c>
      <c r="B17" s="12" t="s">
        <v>43</v>
      </c>
      <c r="C17" s="12" t="s">
        <v>207</v>
      </c>
      <c r="D17" s="12" t="s">
        <v>208</v>
      </c>
      <c r="E17" s="15" t="s">
        <v>209</v>
      </c>
      <c r="F17" s="15" t="s">
        <v>54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81.75" customHeight="1">
      <c r="A18" s="12" t="s">
        <v>210</v>
      </c>
      <c r="B18" s="12" t="s">
        <v>211</v>
      </c>
      <c r="C18" s="12" t="s">
        <v>212</v>
      </c>
      <c r="D18" s="12" t="s">
        <v>213</v>
      </c>
      <c r="E18" s="15" t="s">
        <v>214</v>
      </c>
      <c r="F18" s="15" t="s">
        <v>54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81.75" customHeight="1">
      <c r="A19" s="12" t="s">
        <v>215</v>
      </c>
      <c r="B19" s="12" t="s">
        <v>211</v>
      </c>
      <c r="C19" s="12" t="s">
        <v>216</v>
      </c>
      <c r="D19" s="12" t="s">
        <v>217</v>
      </c>
      <c r="E19" s="15" t="s">
        <v>218</v>
      </c>
      <c r="F19" s="15" t="s">
        <v>54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81.75" customHeight="1">
      <c r="A20" s="12" t="s">
        <v>219</v>
      </c>
      <c r="B20" s="12" t="s">
        <v>211</v>
      </c>
      <c r="C20" s="12" t="s">
        <v>220</v>
      </c>
      <c r="D20" s="12" t="s">
        <v>221</v>
      </c>
      <c r="E20" s="15" t="s">
        <v>222</v>
      </c>
      <c r="F20" s="15" t="s">
        <v>54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81.75" customHeight="1">
      <c r="A21" s="12" t="s">
        <v>131</v>
      </c>
      <c r="B21" s="12" t="s">
        <v>211</v>
      </c>
      <c r="C21" s="12" t="s">
        <v>225</v>
      </c>
      <c r="D21" s="12" t="s">
        <v>226</v>
      </c>
      <c r="E21" s="15" t="s">
        <v>227</v>
      </c>
      <c r="F21" s="15" t="s">
        <v>54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81.75" customHeight="1">
      <c r="A22" s="12" t="s">
        <v>230</v>
      </c>
      <c r="B22" s="12" t="s">
        <v>211</v>
      </c>
      <c r="C22" s="12" t="s">
        <v>231</v>
      </c>
      <c r="D22" s="12" t="s">
        <v>233</v>
      </c>
      <c r="E22" s="15" t="s">
        <v>234</v>
      </c>
      <c r="F22" s="15" t="s">
        <v>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81.75" customHeight="1">
      <c r="A23" s="12" t="s">
        <v>235</v>
      </c>
      <c r="B23" s="12" t="s">
        <v>211</v>
      </c>
      <c r="C23" s="12" t="s">
        <v>236</v>
      </c>
      <c r="D23" s="12" t="s">
        <v>237</v>
      </c>
      <c r="E23" s="15" t="s">
        <v>238</v>
      </c>
      <c r="F23" s="15" t="s">
        <v>54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81.75" customHeight="1">
      <c r="A24" s="12" t="s">
        <v>239</v>
      </c>
      <c r="B24" s="12" t="s">
        <v>211</v>
      </c>
      <c r="C24" s="12" t="s">
        <v>241</v>
      </c>
      <c r="D24" s="12" t="s">
        <v>243</v>
      </c>
      <c r="E24" s="15" t="s">
        <v>244</v>
      </c>
      <c r="F24" s="15" t="s">
        <v>54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81.75" customHeight="1">
      <c r="A25" s="12" t="s">
        <v>248</v>
      </c>
      <c r="B25" s="12" t="s">
        <v>211</v>
      </c>
      <c r="C25" s="12" t="s">
        <v>249</v>
      </c>
      <c r="D25" s="12" t="s">
        <v>251</v>
      </c>
      <c r="E25" s="15" t="s">
        <v>252</v>
      </c>
      <c r="F25" s="15" t="s">
        <v>54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81.75" customHeight="1">
      <c r="A26" s="12" t="s">
        <v>253</v>
      </c>
      <c r="B26" s="12" t="s">
        <v>211</v>
      </c>
      <c r="C26" s="12" t="s">
        <v>254</v>
      </c>
      <c r="D26" s="12" t="s">
        <v>255</v>
      </c>
      <c r="E26" s="15" t="s">
        <v>256</v>
      </c>
      <c r="F26" s="15" t="s">
        <v>54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81.75" customHeight="1">
      <c r="A27" s="12" t="s">
        <v>258</v>
      </c>
      <c r="B27" s="12" t="s">
        <v>211</v>
      </c>
      <c r="C27" s="12" t="s">
        <v>260</v>
      </c>
      <c r="D27" s="12" t="s">
        <v>262</v>
      </c>
      <c r="E27" s="15" t="s">
        <v>263</v>
      </c>
      <c r="F27" s="15" t="s">
        <v>54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3"/>
      <c r="B28" s="23"/>
      <c r="C28" s="23"/>
      <c r="D28" s="23"/>
      <c r="E28" s="2"/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3"/>
      <c r="B29" s="23"/>
      <c r="C29" s="23"/>
      <c r="D29" s="23"/>
      <c r="E29" s="2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